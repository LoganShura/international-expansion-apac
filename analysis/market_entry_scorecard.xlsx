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sers\Logan\Desktop\"/>
    </mc:Choice>
  </mc:AlternateContent>
  <xr:revisionPtr revIDLastSave="0" documentId="13_ncr:1_{5DE856E8-B6F0-482A-8037-72A1412C2C7D}" xr6:coauthVersionLast="47" xr6:coauthVersionMax="47" xr10:uidLastSave="{00000000-0000-0000-0000-000000000000}"/>
  <bookViews>
    <workbookView xWindow="6255" yWindow="2820" windowWidth="26610" windowHeight="15345" xr2:uid="{8A860676-97D6-4A6B-82B9-EE3416490A7B}"/>
  </bookViews>
  <sheets>
    <sheet name="README" sheetId="2" r:id="rId1"/>
    <sheet name="Raw_Factors" sheetId="1" r:id="rId2"/>
    <sheet name="Weighted_Scorecard" sheetId="3" r:id="rId3"/>
    <sheet name="Sequencing_View" sheetId="4" r:id="rId4"/>
    <sheet name="Insigh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B2" i="4" s="1"/>
  <c r="B3" i="4"/>
  <c r="B4" i="4"/>
  <c r="B5" i="4"/>
  <c r="B6" i="4"/>
  <c r="I4" i="3"/>
  <c r="I5" i="3"/>
  <c r="K9" i="3"/>
  <c r="B2" i="3"/>
  <c r="C2" i="3"/>
  <c r="D2" i="3"/>
  <c r="E2" i="3"/>
  <c r="F2" i="3"/>
  <c r="G2" i="3"/>
  <c r="H2" i="3"/>
  <c r="B3" i="3"/>
  <c r="C3" i="3"/>
  <c r="D3" i="3"/>
  <c r="I3" i="3" s="1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I6" i="3" s="1"/>
  <c r="E6" i="3"/>
  <c r="F6" i="3"/>
  <c r="G6" i="3"/>
  <c r="H6" i="3"/>
  <c r="A3" i="3"/>
  <c r="A3" i="4" s="1"/>
  <c r="A4" i="3"/>
  <c r="A4" i="4" s="1"/>
  <c r="A5" i="3"/>
  <c r="A5" i="4" s="1"/>
  <c r="A6" i="3"/>
  <c r="A6" i="4" s="1"/>
  <c r="A2" i="3"/>
  <c r="A2" i="4" s="1"/>
</calcChain>
</file>

<file path=xl/sharedStrings.xml><?xml version="1.0" encoding="utf-8"?>
<sst xmlns="http://schemas.openxmlformats.org/spreadsheetml/2006/main" count="57" uniqueCount="46">
  <si>
    <t>Country</t>
  </si>
  <si>
    <t>Market_Size</t>
  </si>
  <si>
    <t>Growth_Rate</t>
  </si>
  <si>
    <t>Regulatory_Predictability</t>
  </si>
  <si>
    <t>Fintech_Maturity</t>
  </si>
  <si>
    <t>Localization_Effort</t>
  </si>
  <si>
    <t>Competitive_Intensity</t>
  </si>
  <si>
    <t>GTM_Complexity</t>
  </si>
  <si>
    <t>Purpose</t>
  </si>
  <si>
    <t>Operator-style diagnostic to prioritize APAC market entry sequencing based on execution risk, learning velocity, and scalable upside.</t>
  </si>
  <si>
    <t>Decision Question</t>
  </si>
  <si>
    <t>Which markets should be entered first to maximize learning while minimizing irreversible risk?</t>
  </si>
  <si>
    <t>Usage</t>
  </si>
  <si>
    <t>Raw factors → weighted scorecard → entry sequencing.</t>
  </si>
  <si>
    <t>Total Score</t>
  </si>
  <si>
    <t>Rationale</t>
  </si>
  <si>
    <t>Insight 1 — Early Entry Prioritizes Predictability Over Scale</t>
  </si>
  <si>
    <t>Markets with clear regulatory environments enable faster learning and repeatable playbooks.</t>
  </si>
  <si>
    <t>Insight 2 — Localization Depth Is the Primary Sequencing Constraint</t>
  </si>
  <si>
    <t>Japan and South Korea offer upside but require operational maturity before entry.</t>
  </si>
  <si>
    <t>Insight 3 — Optionality Preserved Through Phased Expansion</t>
  </si>
  <si>
    <t>Sequencing reduces irreversible risk while maintaining access to future growth.</t>
  </si>
  <si>
    <t>Singapore</t>
  </si>
  <si>
    <t>Australia</t>
  </si>
  <si>
    <t>Japan</t>
  </si>
  <si>
    <t>South Korea</t>
  </si>
  <si>
    <t>Hong Kong</t>
  </si>
  <si>
    <t>Factor</t>
  </si>
  <si>
    <t>Weight</t>
  </si>
  <si>
    <t>Regulatory Predictability</t>
  </si>
  <si>
    <t>Market Size</t>
  </si>
  <si>
    <t>Fintech Maturity</t>
  </si>
  <si>
    <t>Localization Effort</t>
  </si>
  <si>
    <t>Growth Rate</t>
  </si>
  <si>
    <t>Competitive Intensity</t>
  </si>
  <si>
    <t>GTM Complexity</t>
  </si>
  <si>
    <t>Entry_Wave</t>
  </si>
  <si>
    <t>Wave 1</t>
  </si>
  <si>
    <t>Regulatory clarity, fast learning</t>
  </si>
  <si>
    <t>English, scale, predictable</t>
  </si>
  <si>
    <t>Wave 2</t>
  </si>
  <si>
    <t>High upside, localization heavy</t>
  </si>
  <si>
    <t>Competitive, tech-savvy</t>
  </si>
  <si>
    <t>Monitor</t>
  </si>
  <si>
    <t>Market uncertainty</t>
  </si>
  <si>
    <t>Total_Weighted_Score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</si>
</sst>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55A9-D2BA-4C24-99EA-159091373595}">
  <dimension ref="A1:A8"/>
  <sheetViews>
    <sheetView showGridLines="0" tabSelected="1" workbookViewId="0">
      <selection activeCell="D17" sqref="D17"/>
    </sheetView>
  </sheetViews>
  <sheetFormatPr defaultRowHeight="15" x14ac:dyDescent="0.25"/>
  <cols>
    <col min="1" max="1" width="121.7109375" bestFit="1" customWidth="1"/>
  </cols>
  <sheetData>
    <row r="1" spans="1:1" x14ac:dyDescent="0.25">
      <c r="A1" s="1" t="s">
        <v>8</v>
      </c>
    </row>
    <row r="2" spans="1:1" x14ac:dyDescent="0.25">
      <c r="A2" t="s">
        <v>9</v>
      </c>
    </row>
    <row r="4" spans="1:1" x14ac:dyDescent="0.25">
      <c r="A4" s="1" t="s">
        <v>10</v>
      </c>
    </row>
    <row r="5" spans="1:1" x14ac:dyDescent="0.25">
      <c r="A5" t="s">
        <v>11</v>
      </c>
    </row>
    <row r="7" spans="1:1" x14ac:dyDescent="0.25">
      <c r="A7" s="1" t="s">
        <v>12</v>
      </c>
    </row>
    <row r="8" spans="1:1" x14ac:dyDescent="0.25">
      <c r="A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343F-DE51-4A49-8A11-BB7483BCAA9F}">
  <dimension ref="A1:H6"/>
  <sheetViews>
    <sheetView workbookViewId="0">
      <selection activeCell="B8" sqref="B8"/>
    </sheetView>
  </sheetViews>
  <sheetFormatPr defaultRowHeight="15" x14ac:dyDescent="0.25"/>
  <cols>
    <col min="1" max="1" width="11.7109375" bestFit="1" customWidth="1"/>
    <col min="2" max="2" width="11.85546875" bestFit="1" customWidth="1"/>
    <col min="3" max="3" width="12.5703125" bestFit="1" customWidth="1"/>
    <col min="4" max="4" width="23.85546875" bestFit="1" customWidth="1"/>
    <col min="5" max="5" width="16.28515625" bestFit="1" customWidth="1"/>
    <col min="6" max="6" width="17.7109375" bestFit="1" customWidth="1"/>
    <col min="7" max="7" width="21.14062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22</v>
      </c>
      <c r="B2">
        <v>4</v>
      </c>
      <c r="C2">
        <v>4</v>
      </c>
      <c r="D2">
        <v>5</v>
      </c>
      <c r="E2">
        <v>5</v>
      </c>
      <c r="F2">
        <v>4</v>
      </c>
      <c r="G2">
        <v>3</v>
      </c>
      <c r="H2">
        <v>4</v>
      </c>
    </row>
    <row r="3" spans="1:8" x14ac:dyDescent="0.25">
      <c r="A3" t="s">
        <v>23</v>
      </c>
      <c r="B3">
        <v>4</v>
      </c>
      <c r="C3">
        <v>3</v>
      </c>
      <c r="D3">
        <v>4</v>
      </c>
      <c r="E3">
        <v>4</v>
      </c>
      <c r="F3">
        <v>4</v>
      </c>
      <c r="G3">
        <v>3</v>
      </c>
      <c r="H3">
        <v>4</v>
      </c>
    </row>
    <row r="4" spans="1:8" x14ac:dyDescent="0.25">
      <c r="A4" t="s">
        <v>24</v>
      </c>
      <c r="B4">
        <v>5</v>
      </c>
      <c r="C4">
        <v>3</v>
      </c>
      <c r="D4">
        <v>3</v>
      </c>
      <c r="E4">
        <v>4</v>
      </c>
      <c r="F4">
        <v>2</v>
      </c>
      <c r="G4">
        <v>4</v>
      </c>
      <c r="H4">
        <v>2</v>
      </c>
    </row>
    <row r="5" spans="1:8" x14ac:dyDescent="0.25">
      <c r="A5" t="s">
        <v>25</v>
      </c>
      <c r="B5">
        <v>4</v>
      </c>
      <c r="C5">
        <v>4</v>
      </c>
      <c r="D5">
        <v>3</v>
      </c>
      <c r="E5">
        <v>4</v>
      </c>
      <c r="F5">
        <v>3</v>
      </c>
      <c r="G5">
        <v>4</v>
      </c>
      <c r="H5">
        <v>3</v>
      </c>
    </row>
    <row r="6" spans="1:8" x14ac:dyDescent="0.25">
      <c r="A6" t="s">
        <v>26</v>
      </c>
      <c r="B6">
        <v>3</v>
      </c>
      <c r="C6">
        <v>2</v>
      </c>
      <c r="D6">
        <v>3</v>
      </c>
      <c r="E6">
        <v>4</v>
      </c>
      <c r="F6">
        <v>3</v>
      </c>
      <c r="G6">
        <v>4</v>
      </c>
      <c r="H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5827-47B4-4AA8-B707-B1E34C4998BA}">
  <dimension ref="A1:K9"/>
  <sheetViews>
    <sheetView workbookViewId="0">
      <selection activeCell="I19" sqref="I19"/>
    </sheetView>
  </sheetViews>
  <sheetFormatPr defaultRowHeight="15" x14ac:dyDescent="0.25"/>
  <cols>
    <col min="1" max="1" width="11.7109375" bestFit="1" customWidth="1"/>
    <col min="2" max="2" width="11.85546875" bestFit="1" customWidth="1"/>
    <col min="3" max="3" width="12.5703125" bestFit="1" customWidth="1"/>
    <col min="4" max="4" width="23.85546875" bestFit="1" customWidth="1"/>
    <col min="5" max="5" width="16.28515625" bestFit="1" customWidth="1"/>
    <col min="6" max="6" width="17.7109375" bestFit="1" customWidth="1"/>
    <col min="7" max="7" width="21.140625" bestFit="1" customWidth="1"/>
    <col min="8" max="8" width="16.28515625" bestFit="1" customWidth="1"/>
    <col min="9" max="9" width="21.42578125" bestFit="1" customWidth="1"/>
    <col min="10" max="10" width="2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45</v>
      </c>
      <c r="J1" t="s">
        <v>27</v>
      </c>
      <c r="K1" t="s">
        <v>28</v>
      </c>
    </row>
    <row r="2" spans="1:11" x14ac:dyDescent="0.25">
      <c r="A2" t="str">
        <f>Raw_Factors!A2</f>
        <v>Singapore</v>
      </c>
      <c r="B2">
        <f>Raw_Factors!B2</f>
        <v>4</v>
      </c>
      <c r="C2">
        <f>Raw_Factors!C2</f>
        <v>4</v>
      </c>
      <c r="D2">
        <f>Raw_Factors!D2</f>
        <v>5</v>
      </c>
      <c r="E2">
        <f>Raw_Factors!E2</f>
        <v>5</v>
      </c>
      <c r="F2">
        <f>Raw_Factors!F2</f>
        <v>4</v>
      </c>
      <c r="G2">
        <f>Raw_Factors!G2</f>
        <v>3</v>
      </c>
      <c r="H2">
        <f>Raw_Factors!H2</f>
        <v>4</v>
      </c>
      <c r="I2" s="3">
        <f xml:space="preserve"> (D2*$K$2)
+ (B2*$K$3)
+ (E2*$K$4)
+ (F2*$K$5)
+ (C2*$K$6)
+ (G2*$K$7)
+ (H2*$K$8)</f>
        <v>4.3</v>
      </c>
      <c r="J2" t="s">
        <v>29</v>
      </c>
      <c r="K2" s="2">
        <v>0.25</v>
      </c>
    </row>
    <row r="3" spans="1:11" x14ac:dyDescent="0.25">
      <c r="A3" t="str">
        <f>Raw_Factors!A3</f>
        <v>Australia</v>
      </c>
      <c r="B3">
        <f>Raw_Factors!B3</f>
        <v>4</v>
      </c>
      <c r="C3">
        <f>Raw_Factors!C3</f>
        <v>3</v>
      </c>
      <c r="D3">
        <f>Raw_Factors!D3</f>
        <v>4</v>
      </c>
      <c r="E3">
        <f>Raw_Factors!E3</f>
        <v>4</v>
      </c>
      <c r="F3">
        <f>Raw_Factors!F3</f>
        <v>4</v>
      </c>
      <c r="G3">
        <f>Raw_Factors!G3</f>
        <v>3</v>
      </c>
      <c r="H3">
        <f>Raw_Factors!H3</f>
        <v>4</v>
      </c>
      <c r="I3" s="3">
        <f t="shared" ref="I3:I6" si="0" xml:space="preserve"> (D3*$K$2)
+ (B3*$K$3)
+ (E3*$K$4)
+ (F3*$K$5)
+ (C3*$K$6)
+ (G3*$K$7)
+ (H3*$K$8)</f>
        <v>3.8</v>
      </c>
      <c r="J3" t="s">
        <v>30</v>
      </c>
      <c r="K3" s="2">
        <v>0.2</v>
      </c>
    </row>
    <row r="4" spans="1:11" x14ac:dyDescent="0.25">
      <c r="A4" t="str">
        <f>Raw_Factors!A4</f>
        <v>Japan</v>
      </c>
      <c r="B4">
        <f>Raw_Factors!B4</f>
        <v>5</v>
      </c>
      <c r="C4">
        <f>Raw_Factors!C4</f>
        <v>3</v>
      </c>
      <c r="D4">
        <f>Raw_Factors!D4</f>
        <v>3</v>
      </c>
      <c r="E4">
        <f>Raw_Factors!E4</f>
        <v>4</v>
      </c>
      <c r="F4">
        <f>Raw_Factors!F4</f>
        <v>2</v>
      </c>
      <c r="G4">
        <f>Raw_Factors!G4</f>
        <v>4</v>
      </c>
      <c r="H4">
        <f>Raw_Factors!H4</f>
        <v>2</v>
      </c>
      <c r="I4" s="3">
        <f t="shared" si="0"/>
        <v>3.45</v>
      </c>
      <c r="J4" t="s">
        <v>31</v>
      </c>
      <c r="K4" s="2">
        <v>0.15</v>
      </c>
    </row>
    <row r="5" spans="1:11" x14ac:dyDescent="0.25">
      <c r="A5" t="str">
        <f>Raw_Factors!A5</f>
        <v>South Korea</v>
      </c>
      <c r="B5">
        <f>Raw_Factors!B5</f>
        <v>4</v>
      </c>
      <c r="C5">
        <f>Raw_Factors!C5</f>
        <v>4</v>
      </c>
      <c r="D5">
        <f>Raw_Factors!D5</f>
        <v>3</v>
      </c>
      <c r="E5">
        <f>Raw_Factors!E5</f>
        <v>4</v>
      </c>
      <c r="F5">
        <f>Raw_Factors!F5</f>
        <v>3</v>
      </c>
      <c r="G5">
        <f>Raw_Factors!G5</f>
        <v>4</v>
      </c>
      <c r="H5">
        <f>Raw_Factors!H5</f>
        <v>3</v>
      </c>
      <c r="I5" s="3">
        <f t="shared" si="0"/>
        <v>3.5499999999999994</v>
      </c>
      <c r="J5" t="s">
        <v>32</v>
      </c>
      <c r="K5" s="2">
        <v>0.15</v>
      </c>
    </row>
    <row r="6" spans="1:11" x14ac:dyDescent="0.25">
      <c r="A6" t="str">
        <f>Raw_Factors!A6</f>
        <v>Hong Kong</v>
      </c>
      <c r="B6">
        <f>Raw_Factors!B6</f>
        <v>3</v>
      </c>
      <c r="C6">
        <f>Raw_Factors!C6</f>
        <v>2</v>
      </c>
      <c r="D6">
        <f>Raw_Factors!D6</f>
        <v>3</v>
      </c>
      <c r="E6">
        <f>Raw_Factors!E6</f>
        <v>4</v>
      </c>
      <c r="F6">
        <f>Raw_Factors!F6</f>
        <v>3</v>
      </c>
      <c r="G6">
        <f>Raw_Factors!G6</f>
        <v>4</v>
      </c>
      <c r="H6">
        <f>Raw_Factors!H6</f>
        <v>3</v>
      </c>
      <c r="I6" s="3">
        <f t="shared" si="0"/>
        <v>3.1500000000000004</v>
      </c>
      <c r="J6" t="s">
        <v>33</v>
      </c>
      <c r="K6" s="2">
        <v>0.1</v>
      </c>
    </row>
    <row r="7" spans="1:11" x14ac:dyDescent="0.25">
      <c r="J7" t="s">
        <v>34</v>
      </c>
      <c r="K7" s="2">
        <v>0.1</v>
      </c>
    </row>
    <row r="8" spans="1:11" x14ac:dyDescent="0.25">
      <c r="J8" t="s">
        <v>35</v>
      </c>
      <c r="K8" s="2">
        <v>0.05</v>
      </c>
    </row>
    <row r="9" spans="1:11" x14ac:dyDescent="0.25">
      <c r="K9" s="2">
        <f>SUM(K2:K8)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CA93-92B4-4A67-B13E-369DFAE885D0}">
  <dimension ref="A1:D6"/>
  <sheetViews>
    <sheetView workbookViewId="0">
      <selection activeCell="K11" sqref="K11"/>
    </sheetView>
  </sheetViews>
  <sheetFormatPr defaultRowHeight="15" x14ac:dyDescent="0.25"/>
  <cols>
    <col min="1" max="1" width="11.7109375" bestFit="1" customWidth="1"/>
    <col min="2" max="2" width="10.7109375" bestFit="1" customWidth="1"/>
    <col min="3" max="3" width="11.5703125" bestFit="1" customWidth="1"/>
    <col min="4" max="4" width="29" bestFit="1" customWidth="1"/>
  </cols>
  <sheetData>
    <row r="1" spans="1:4" x14ac:dyDescent="0.25">
      <c r="A1" t="s">
        <v>0</v>
      </c>
      <c r="B1" t="s">
        <v>14</v>
      </c>
      <c r="C1" t="s">
        <v>36</v>
      </c>
      <c r="D1" t="s">
        <v>15</v>
      </c>
    </row>
    <row r="2" spans="1:4" x14ac:dyDescent="0.25">
      <c r="A2" t="str">
        <f>Weighted_Scorecard!A2</f>
        <v>Singapore</v>
      </c>
      <c r="B2" s="3">
        <f>Weighted_Scorecard!I2</f>
        <v>4.3</v>
      </c>
      <c r="C2" t="s">
        <v>37</v>
      </c>
      <c r="D2" t="s">
        <v>38</v>
      </c>
    </row>
    <row r="3" spans="1:4" x14ac:dyDescent="0.25">
      <c r="A3" t="str">
        <f>Weighted_Scorecard!A3</f>
        <v>Australia</v>
      </c>
      <c r="B3" s="3">
        <f>Weighted_Scorecard!I3</f>
        <v>3.8</v>
      </c>
      <c r="C3" t="s">
        <v>37</v>
      </c>
      <c r="D3" t="s">
        <v>39</v>
      </c>
    </row>
    <row r="4" spans="1:4" x14ac:dyDescent="0.25">
      <c r="A4" t="str">
        <f>Weighted_Scorecard!A4</f>
        <v>Japan</v>
      </c>
      <c r="B4" s="3">
        <f>Weighted_Scorecard!I4</f>
        <v>3.45</v>
      </c>
      <c r="C4" t="s">
        <v>40</v>
      </c>
      <c r="D4" t="s">
        <v>41</v>
      </c>
    </row>
    <row r="5" spans="1:4" x14ac:dyDescent="0.25">
      <c r="A5" t="str">
        <f>Weighted_Scorecard!A5</f>
        <v>South Korea</v>
      </c>
      <c r="B5" s="3">
        <f>Weighted_Scorecard!I5</f>
        <v>3.5499999999999994</v>
      </c>
      <c r="C5" t="s">
        <v>40</v>
      </c>
      <c r="D5" t="s">
        <v>42</v>
      </c>
    </row>
    <row r="6" spans="1:4" x14ac:dyDescent="0.25">
      <c r="A6" t="str">
        <f>Weighted_Scorecard!A6</f>
        <v>Hong Kong</v>
      </c>
      <c r="B6" s="3">
        <f>Weighted_Scorecard!I6</f>
        <v>3.1500000000000004</v>
      </c>
      <c r="C6" t="s">
        <v>43</v>
      </c>
      <c r="D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5F7-3B74-46A4-8970-104C11E2B359}">
  <dimension ref="A1:A8"/>
  <sheetViews>
    <sheetView showGridLines="0" workbookViewId="0">
      <selection activeCell="K16" sqref="K16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7" spans="1:1" x14ac:dyDescent="0.25">
      <c r="A7" t="s">
        <v>20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Raw_Factors</vt:lpstr>
      <vt:lpstr>Weighted_Scorecard</vt:lpstr>
      <vt:lpstr>Sequencing_View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Martin</dc:creator>
  <cp:lastModifiedBy>Logan Martin</cp:lastModifiedBy>
  <dcterms:created xsi:type="dcterms:W3CDTF">2025-12-16T19:04:41Z</dcterms:created>
  <dcterms:modified xsi:type="dcterms:W3CDTF">2025-12-16T19:45:45Z</dcterms:modified>
</cp:coreProperties>
</file>